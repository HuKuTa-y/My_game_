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  <sheet name="Лист2" sheetId="2" r:id="rId2"/>
  </sheets>
  <definedNames>
    <definedName name="solver_adj" localSheetId="0" hidden="1">Лист1!$A$4:$D$4</definedName>
    <definedName name="solver_adj" localSheetId="1" hidden="1">Лист2!$A$4:$D$4</definedName>
    <definedName name="solver_cvg" localSheetId="0" hidden="1">0.0001</definedName>
    <definedName name="solver_cvg" localSheetId="1" hidden="1">0.0001</definedName>
    <definedName name="solver_drv" localSheetId="0" hidden="1">2</definedName>
    <definedName name="solver_drv" localSheetId="1" hidden="1">1</definedName>
    <definedName name="solver_eng" localSheetId="0" hidden="1">2</definedName>
    <definedName name="solver_eng" localSheetId="1" hidden="1">1</definedName>
    <definedName name="solver_est" localSheetId="0" hidden="1">1</definedName>
    <definedName name="solver_est" localSheetId="1" hidden="1">1</definedName>
    <definedName name="solver_itr" localSheetId="0" hidden="1">2147483647</definedName>
    <definedName name="solver_itr" localSheetId="1" hidden="1">2147483647</definedName>
    <definedName name="solver_lhs1" localSheetId="0" hidden="1">Лист1!$A$4</definedName>
    <definedName name="solver_lhs10" localSheetId="0" hidden="1">Лист1!$E$9</definedName>
    <definedName name="solver_lhs2" localSheetId="0" hidden="1">Лист1!$A$4</definedName>
    <definedName name="solver_lhs3" localSheetId="0" hidden="1">Лист1!$B$4</definedName>
    <definedName name="solver_lhs4" localSheetId="0" hidden="1">Лист1!$B$4</definedName>
    <definedName name="solver_lhs5" localSheetId="0" hidden="1">Лист1!$C$4</definedName>
    <definedName name="solver_lhs6" localSheetId="0" hidden="1">Лист1!$C$4</definedName>
    <definedName name="solver_lhs7" localSheetId="0" hidden="1">Лист1!$D$4</definedName>
    <definedName name="solver_lhs8" localSheetId="0" hidden="1">Лист1!$E$10</definedName>
    <definedName name="solver_lhs9" localSheetId="0" hidden="1">Лист1!$E$8</definedName>
    <definedName name="solver_mip" localSheetId="0" hidden="1">2147483647</definedName>
    <definedName name="solver_mip" localSheetId="1" hidden="1">2147483647</definedName>
    <definedName name="solver_mni" localSheetId="0" hidden="1">30</definedName>
    <definedName name="solver_mni" localSheetId="1" hidden="1">30</definedName>
    <definedName name="solver_mrt" localSheetId="0" hidden="1">0.075</definedName>
    <definedName name="solver_mrt" localSheetId="1" hidden="1">0.075</definedName>
    <definedName name="solver_msl" localSheetId="0" hidden="1">2</definedName>
    <definedName name="solver_msl" localSheetId="1" hidden="1">2</definedName>
    <definedName name="solver_neg" localSheetId="0" hidden="1">1</definedName>
    <definedName name="solver_neg" localSheetId="1" hidden="1">1</definedName>
    <definedName name="solver_nod" localSheetId="0" hidden="1">2147483647</definedName>
    <definedName name="solver_nod" localSheetId="1" hidden="1">2147483647</definedName>
    <definedName name="solver_num" localSheetId="0" hidden="1">10</definedName>
    <definedName name="solver_num" localSheetId="1" hidden="1">0</definedName>
    <definedName name="solver_nwt" localSheetId="0" hidden="1">1</definedName>
    <definedName name="solver_nwt" localSheetId="1" hidden="1">1</definedName>
    <definedName name="solver_opt" localSheetId="0" hidden="1">Лист1!$E$4</definedName>
    <definedName name="solver_opt" localSheetId="1" hidden="1">Лист2!$E$4</definedName>
    <definedName name="solver_pre" localSheetId="0" hidden="1">0.000001</definedName>
    <definedName name="solver_pre" localSheetId="1" hidden="1">0.000001</definedName>
    <definedName name="solver_rbv" localSheetId="0" hidden="1">2</definedName>
    <definedName name="solver_rbv" localSheetId="1" hidden="1">1</definedName>
    <definedName name="solver_rel1" localSheetId="0" hidden="1">1</definedName>
    <definedName name="solver_rel10" localSheetId="0" hidden="1">1</definedName>
    <definedName name="solver_rel2" localSheetId="0" hidden="1">4</definedName>
    <definedName name="solver_rel3" localSheetId="0" hidden="1">1</definedName>
    <definedName name="solver_rel4" localSheetId="0" hidden="1">4</definedName>
    <definedName name="solver_rel5" localSheetId="0" hidden="1">1</definedName>
    <definedName name="solver_rel6" localSheetId="0" hidden="1">4</definedName>
    <definedName name="solver_rel7" localSheetId="0" hidden="1">4</definedName>
    <definedName name="solver_rel8" localSheetId="0" hidden="1">1</definedName>
    <definedName name="solver_rel9" localSheetId="0" hidden="1">1</definedName>
    <definedName name="solver_rhs1" localSheetId="0" hidden="1">50</definedName>
    <definedName name="solver_rhs10" localSheetId="0" hidden="1">Лист1!$G$9</definedName>
    <definedName name="solver_rhs2" localSheetId="0" hidden="1">целое</definedName>
    <definedName name="solver_rhs3" localSheetId="0" hidden="1">40</definedName>
    <definedName name="solver_rhs4" localSheetId="0" hidden="1">целое</definedName>
    <definedName name="solver_rhs5" localSheetId="0" hidden="1">60</definedName>
    <definedName name="solver_rhs6" localSheetId="0" hidden="1">целое</definedName>
    <definedName name="solver_rhs7" localSheetId="0" hidden="1">целое</definedName>
    <definedName name="solver_rhs8" localSheetId="0" hidden="1">Лист1!$G$10</definedName>
    <definedName name="solver_rhs9" localSheetId="0" hidden="1">Лист1!$G$8</definedName>
    <definedName name="solver_rlx" localSheetId="0" hidden="1">2</definedName>
    <definedName name="solver_rlx" localSheetId="1" hidden="1">2</definedName>
    <definedName name="solver_rsd" localSheetId="0" hidden="1">0</definedName>
    <definedName name="solver_rsd" localSheetId="1" hidden="1">0</definedName>
    <definedName name="solver_scl" localSheetId="0" hidden="1">2</definedName>
    <definedName name="solver_scl" localSheetId="1" hidden="1">1</definedName>
    <definedName name="solver_sho" localSheetId="0" hidden="1">2</definedName>
    <definedName name="solver_sho" localSheetId="1" hidden="1">2</definedName>
    <definedName name="solver_ssz" localSheetId="0" hidden="1">100</definedName>
    <definedName name="solver_ssz" localSheetId="1" hidden="1">100</definedName>
    <definedName name="solver_tim" localSheetId="0" hidden="1">2147483647</definedName>
    <definedName name="solver_tim" localSheetId="1" hidden="1">2147483647</definedName>
    <definedName name="solver_tol" localSheetId="0" hidden="1">0.01</definedName>
    <definedName name="solver_tol" localSheetId="1" hidden="1">0.01</definedName>
    <definedName name="solver_typ" localSheetId="0" hidden="1">1</definedName>
    <definedName name="solver_typ" localSheetId="1" hidden="1">1</definedName>
    <definedName name="solver_val" localSheetId="0" hidden="1">0</definedName>
    <definedName name="solver_val" localSheetId="1" hidden="1">0</definedName>
    <definedName name="solver_ver" localSheetId="0" hidden="1">3</definedName>
    <definedName name="solver_ver" localSheetId="1" hidden="1">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9" i="1" l="1"/>
  <c r="E10" i="1"/>
  <c r="E4" i="1" l="1"/>
  <c r="E10" i="2"/>
  <c r="E9" i="2"/>
  <c r="E8" i="2"/>
  <c r="E4" i="2"/>
  <c r="E8" i="1"/>
</calcChain>
</file>

<file path=xl/sharedStrings.xml><?xml version="1.0" encoding="utf-8"?>
<sst xmlns="http://schemas.openxmlformats.org/spreadsheetml/2006/main" count="22" uniqueCount="10">
  <si>
    <t>х1</t>
  </si>
  <si>
    <t>х2</t>
  </si>
  <si>
    <t>х3</t>
  </si>
  <si>
    <t>х4</t>
  </si>
  <si>
    <t>Z</t>
  </si>
  <si>
    <t>Целевая функция</t>
  </si>
  <si>
    <t>Система ограничений</t>
  </si>
  <si>
    <t>&lt;=</t>
  </si>
  <si>
    <t xml:space="preserve">  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</si>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</sst>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12"/>
  <sheetViews>
    <sheetView tabSelected="1" zoomScale="145" zoomScaleNormal="145" workbookViewId="0">
      <selection activeCell="F16" sqref="F16"/>
    </sheetView>
  </sheetViews>
  <sheetFormatPr defaultRowHeight="15" x14ac:dyDescent="0.25"/>
  <cols>
    <col min="5" max="5" width="18.7109375" customWidth="1"/>
  </cols>
  <sheetData>
    <row r="2" spans="1:13" x14ac:dyDescent="0.25">
      <c r="A2" s="1" t="s">
        <v>5</v>
      </c>
      <c r="B2" s="1"/>
      <c r="C2" s="1"/>
      <c r="D2" s="1"/>
      <c r="E2" s="1"/>
      <c r="F2" s="1"/>
      <c r="G2" s="1"/>
      <c r="H2" s="1"/>
      <c r="I2" s="1"/>
      <c r="J2" s="1"/>
      <c r="K2" s="1"/>
      <c r="M2" t="s">
        <v>9</v>
      </c>
    </row>
    <row r="3" spans="1:13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</row>
    <row r="4" spans="1:13" x14ac:dyDescent="0.25">
      <c r="A4" s="3">
        <v>49</v>
      </c>
      <c r="B4" s="3">
        <v>40</v>
      </c>
      <c r="C4" s="3">
        <v>13</v>
      </c>
      <c r="D4">
        <v>0</v>
      </c>
      <c r="E4" s="3">
        <f>A4*A5+B4*B5+C4*C5+D4*D5</f>
        <v>16650</v>
      </c>
    </row>
    <row r="5" spans="1:13" x14ac:dyDescent="0.25">
      <c r="A5">
        <v>150</v>
      </c>
      <c r="B5">
        <v>200</v>
      </c>
      <c r="C5">
        <v>100</v>
      </c>
      <c r="D5">
        <v>0</v>
      </c>
    </row>
    <row r="7" spans="1:13" x14ac:dyDescent="0.25">
      <c r="A7" s="2" t="s">
        <v>6</v>
      </c>
      <c r="B7" s="2"/>
      <c r="C7" s="2"/>
      <c r="D7" s="2"/>
      <c r="E7" s="2"/>
      <c r="F7" s="2"/>
      <c r="G7" s="2"/>
      <c r="H7" s="2"/>
      <c r="I7" s="2"/>
      <c r="J7" s="2"/>
      <c r="K7" s="2"/>
    </row>
    <row r="8" spans="1:13" x14ac:dyDescent="0.25">
      <c r="A8">
        <v>3</v>
      </c>
      <c r="B8">
        <v>2</v>
      </c>
      <c r="C8">
        <v>1</v>
      </c>
      <c r="D8">
        <v>0</v>
      </c>
      <c r="E8">
        <f>$A$4*A8+$B$4*B8+$C$4*C8+$D$4*D8</f>
        <v>240</v>
      </c>
      <c r="F8" t="s">
        <v>7</v>
      </c>
      <c r="G8">
        <v>240</v>
      </c>
    </row>
    <row r="9" spans="1:13" x14ac:dyDescent="0.25">
      <c r="A9">
        <v>2</v>
      </c>
      <c r="B9">
        <v>4</v>
      </c>
      <c r="C9">
        <v>3</v>
      </c>
      <c r="D9">
        <v>0</v>
      </c>
      <c r="E9">
        <f t="shared" ref="E9:E10" si="0">$A$4*A9+$B$4*B9+$C$4*C9+$D$4*D9</f>
        <v>297</v>
      </c>
      <c r="F9" t="s">
        <v>7</v>
      </c>
      <c r="G9">
        <v>300</v>
      </c>
    </row>
    <row r="10" spans="1:13" x14ac:dyDescent="0.25">
      <c r="A10">
        <v>100</v>
      </c>
      <c r="B10">
        <v>120</v>
      </c>
      <c r="C10">
        <v>80</v>
      </c>
      <c r="D10">
        <v>0</v>
      </c>
      <c r="E10">
        <f t="shared" si="0"/>
        <v>10740</v>
      </c>
      <c r="F10" t="s">
        <v>7</v>
      </c>
      <c r="G10">
        <v>20000</v>
      </c>
    </row>
    <row r="12" spans="1:13" x14ac:dyDescent="0.25">
      <c r="E12" t="s">
        <v>8</v>
      </c>
    </row>
  </sheetData>
  <mergeCells count="2">
    <mergeCell ref="A2:K2"/>
    <mergeCell ref="A7:K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10"/>
  <sheetViews>
    <sheetView zoomScale="145" zoomScaleNormal="145" workbookViewId="0">
      <selection activeCell="E4" sqref="E4"/>
    </sheetView>
  </sheetViews>
  <sheetFormatPr defaultRowHeight="15" x14ac:dyDescent="0.25"/>
  <sheetData>
    <row r="2" spans="1:11" x14ac:dyDescent="0.25">
      <c r="A2" s="1" t="s">
        <v>5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</row>
    <row r="4" spans="1:11" x14ac:dyDescent="0.25">
      <c r="A4">
        <v>0</v>
      </c>
      <c r="B4">
        <v>0</v>
      </c>
      <c r="C4">
        <v>0</v>
      </c>
      <c r="D4">
        <v>0</v>
      </c>
      <c r="E4">
        <f>A4*A5+B4*B5+C4*C5+D4*D5</f>
        <v>0</v>
      </c>
    </row>
    <row r="5" spans="1:11" x14ac:dyDescent="0.25">
      <c r="A5">
        <v>3</v>
      </c>
      <c r="B5">
        <v>4</v>
      </c>
      <c r="C5">
        <v>0</v>
      </c>
      <c r="D5">
        <v>0</v>
      </c>
    </row>
    <row r="7" spans="1:11" x14ac:dyDescent="0.25">
      <c r="A7" s="2" t="s">
        <v>6</v>
      </c>
      <c r="B7" s="2"/>
      <c r="C7" s="2"/>
      <c r="D7" s="2"/>
      <c r="E7" s="2"/>
      <c r="F7" s="2"/>
      <c r="G7" s="2"/>
      <c r="H7" s="2"/>
      <c r="I7" s="2"/>
      <c r="J7" s="2"/>
      <c r="K7" s="2"/>
    </row>
    <row r="8" spans="1:11" x14ac:dyDescent="0.25">
      <c r="A8">
        <v>1</v>
      </c>
      <c r="B8">
        <v>1</v>
      </c>
      <c r="C8">
        <v>0</v>
      </c>
      <c r="D8">
        <v>0</v>
      </c>
      <c r="E8">
        <f>$A$4*A8+$B$4*B8+$C$4*C8+$D$4*D8</f>
        <v>0</v>
      </c>
      <c r="F8" t="s">
        <v>7</v>
      </c>
      <c r="G8">
        <v>550</v>
      </c>
    </row>
    <row r="9" spans="1:11" x14ac:dyDescent="0.25">
      <c r="A9">
        <v>2</v>
      </c>
      <c r="B9">
        <v>3</v>
      </c>
      <c r="C9">
        <v>0</v>
      </c>
      <c r="D9">
        <v>0</v>
      </c>
      <c r="E9">
        <f t="shared" ref="E9:E10" si="0">$A$4*A9+$B$4*B9+$C$4*C9+$D$4*D9</f>
        <v>0</v>
      </c>
      <c r="F9" t="s">
        <v>7</v>
      </c>
      <c r="G9">
        <v>1200</v>
      </c>
    </row>
    <row r="10" spans="1:11" x14ac:dyDescent="0.25">
      <c r="A10">
        <v>12</v>
      </c>
      <c r="B10">
        <v>30</v>
      </c>
      <c r="C10">
        <v>0</v>
      </c>
      <c r="D10">
        <v>0</v>
      </c>
      <c r="E10">
        <f t="shared" si="0"/>
        <v>0</v>
      </c>
      <c r="F10" t="s">
        <v>7</v>
      </c>
      <c r="G10">
        <v>9600</v>
      </c>
    </row>
  </sheetData>
  <mergeCells count="2">
    <mergeCell ref="A2:K2"/>
    <mergeCell ref="A7:K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2026-02-03T08:55:12Z</dcterms:modified>
</cp:coreProperties>
</file>